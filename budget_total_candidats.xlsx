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total" sheetId="1" state="visible" r:id="rId3"/>
    <sheet name="Hypotheses" sheetId="2" state="visible" r:id="rId4"/>
    <sheet name="Banques" sheetId="3" state="visible" r:id="rId5"/>
    <sheet name="Mode d'empl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<sst xmlns="http://schemas.openxmlformats.org/spreadsheetml/2006/main" count="165" uniqueCount="160">
  <si>
    <t xml:space="preserve">Budget total par candidat : péniche Freycinet</t>
  </si>
  <si>
    <t xml:space="preserve">Montants en euros. Prix demandés au 22 octobre 2026 ; aucun coût n'est estimé ici : les cases jaunes sont à remplir avec vos devis.</t>
  </si>
  <si>
    <t xml:space="preserve">Légende : texte bleu = donnée saisie ou reprise des annonces · texte noir = formule · texte vert = lien vers l'onglet Hypotheses · fond jaune = case à remplir.</t>
  </si>
  <si>
    <t xml:space="preserve">Poste</t>
  </si>
  <si>
    <t xml:space="preserve">Creil</t>
  </si>
  <si>
    <t xml:space="preserve">Saint-Mammès</t>
  </si>
  <si>
    <t xml:space="preserve">Arleux (Jessica)</t>
  </si>
  <si>
    <t xml:space="preserve">Saint-Jean-de-Losne</t>
  </si>
  <si>
    <t xml:space="preserve">Autre candidat</t>
  </si>
  <si>
    <t xml:space="preserve">Exemple de format (valeurs fictives, hors comparaison)</t>
  </si>
  <si>
    <t xml:space="preserve">Remarques</t>
  </si>
  <si>
    <t xml:space="preserve">1. Rappel des annonces</t>
  </si>
  <si>
    <t xml:space="preserve">Lien de l'annonce</t>
  </si>
  <si>
    <t xml:space="preserve">nautisme/3243153381</t>
  </si>
  <si>
    <t xml:space="preserve">nautisme/3253976756</t>
  </si>
  <si>
    <t xml:space="preserve">nautisme/3132319776</t>
  </si>
  <si>
    <t xml:space="preserve">nautisme/3265626787</t>
  </si>
  <si>
    <t xml:space="preserve">(lien Leboncoin)</t>
  </si>
  <si>
    <t xml:space="preserve">Liens Leboncoin des annonces collées.</t>
  </si>
  <si>
    <t xml:space="preserve">Localisation</t>
  </si>
  <si>
    <t xml:space="preserve">Creil (Oise)</t>
  </si>
  <si>
    <t xml:space="preserve">Saint-Mammès (Seine-et-Marne), canal du Loing</t>
  </si>
  <si>
    <t xml:space="preserve">Arleux (Nord)</t>
  </si>
  <si>
    <t xml:space="preserve">Saint-Jean-de-Losne (Côte-d'Or), au port</t>
  </si>
  <si>
    <t xml:space="preserve">Ville (département)</t>
  </si>
  <si>
    <t xml:space="preserve">D'après les annonces.</t>
  </si>
  <si>
    <t xml:space="preserve">Titre / certificat de navigation</t>
  </si>
  <si>
    <t xml:space="preserve">Expiré depuis 2019 ; remise en conformité électrique nécessaire</t>
  </si>
  <si>
    <t xml:space="preserve">Non indiqué</t>
  </si>
  <si>
    <t xml:space="preserve">Certificat de l'Union annoncé valide jusqu'en 2029</t>
  </si>
  <si>
    <t xml:space="preserve">Certificat communautaire annoncé valable jusqu'en 2030</t>
  </si>
  <si>
    <t xml:space="preserve">Valide jusqu'en 20XX</t>
  </si>
  <si>
    <t xml:space="preserve">D'après les annonces ; à vérifier sur copie du certificat.</t>
  </si>
  <si>
    <t xml:space="preserve">Dernier sondage / cale sèche</t>
  </si>
  <si>
    <t xml:space="preserve">Plan de sondage 2024 ; doublage des bordés, bouchains et fond en 2024</t>
  </si>
  <si>
    <t xml:space="preserve">Non indiqué (rapport à demander)</t>
  </si>
  <si>
    <t xml:space="preserve">Montée en cale juin 2023 ; rapport non précisé</t>
  </si>
  <si>
    <t xml:space="preserve">Année, épaisseurs</t>
  </si>
  <si>
    <t xml:space="preserve">Épaisseurs relevées : à demander à chaque vendeur.</t>
  </si>
  <si>
    <t xml:space="preserve">Emplacement / régime d'occupation</t>
  </si>
  <si>
    <t xml:space="preserve">Redevance sans titre (COSTU) à jour ; pas de COT</t>
  </si>
  <si>
    <t xml:space="preserve">Basé au port : régime à demander</t>
  </si>
  <si>
    <t xml:space="preserve">COT, contrat de port…</t>
  </si>
  <si>
    <t xml:space="preserve">La COT n'est pas cessible de plein droit : à négocier avec le gestionnaire (VNF ou HAROPA).</t>
  </si>
  <si>
    <t xml:space="preserve">Moteur / équipements marquants</t>
  </si>
  <si>
    <t xml:space="preserve">Baudouin DK6 fonctionnel ; cale aménagée en salle de réception</t>
  </si>
  <si>
    <t xml:space="preserve">Non indiqué ; cale lestée avec cornières pour un plancher</t>
  </si>
  <si>
    <t xml:space="preserve">Volvo 380 ch (8 800 h) ; pompe de ballast fixe de 100 t</t>
  </si>
  <si>
    <t xml:space="preserve">GM 92 de 365 ch (26 000 h) ; cales de 63 et 42 m² aménageables</t>
  </si>
  <si>
    <t xml:space="preserve">Moteur, heures</t>
  </si>
  <si>
    <t xml:space="preserve">2. Achat</t>
  </si>
  <si>
    <t xml:space="preserve">Prix demandé (€)</t>
  </si>
  <si>
    <t xml:space="preserve">Creil : « à débattre » selon l'annonce. Prix demandés relevés le 22 octobre 2026.</t>
  </si>
  <si>
    <t xml:space="preserve">Prix visé après négociation (€)</t>
  </si>
  <si>
    <t xml:space="preserve">Laisser vide pour utiliser le prix demandé dans les calculs.</t>
  </si>
  <si>
    <t xml:space="preserve">Prix retenu pour le calcul (€)</t>
  </si>
  <si>
    <t xml:space="preserve">Prix visé s'il est renseigné, sinon prix demandé.</t>
  </si>
  <si>
    <t xml:space="preserve">3. Coûts à chiffrer avec des devis (€)</t>
  </si>
  <si>
    <t xml:space="preserve">Frais d'acte, courtier, immatriculation</t>
  </si>
  <si>
    <t xml:space="preserve">À l'achat.</t>
  </si>
  <si>
    <t xml:space="preserve">Expertise de coque indépendante (sondage ultrasons)</t>
  </si>
  <si>
    <t xml:space="preserve">Avant de signer. Conditionne le prêt et l'assurance.</t>
  </si>
  <si>
    <t xml:space="preserve">Déplacements et visites</t>
  </si>
  <si>
    <t xml:space="preserve">Avant l'achat ; les visites se font souvent le week-end.</t>
  </si>
  <si>
    <t xml:space="preserve">Assurance (première année)</t>
  </si>
  <si>
    <t xml:space="preserve">Peut exiger une expertise récente et un titre valide.</t>
  </si>
  <si>
    <t xml:space="preserve">Emplacement / redevance d'occupation (première année)</t>
  </si>
  <si>
    <t xml:space="preserve">COT non cessible : redevance à demander au gestionnaire ou au port.</t>
  </si>
  <si>
    <t xml:space="preserve">Convoyage vers l'emplacement</t>
  </si>
  <si>
    <t xml:space="preserve">Surtout pour Arleux et Saint-Jean-de-Losne, loin de l'Île-de-France.</t>
  </si>
  <si>
    <t xml:space="preserve">Mise en conformité électrique</t>
  </si>
  <si>
    <t xml:space="preserve">Creil : nécessaire pour renouveler le titre expiré depuis 2019.</t>
  </si>
  <si>
    <t xml:space="preserve">Titre de navigation / visite technique</t>
  </si>
  <si>
    <t xml:space="preserve">À renouveler selon les échéances annoncées.</t>
  </si>
  <si>
    <t xml:space="preserve">Cale sèche éventuelle</t>
  </si>
  <si>
    <t xml:space="preserve">Seulement si le sondage l'impose ; plusieurs bateaux annoncent une cale sèche ancienne.</t>
  </si>
  <si>
    <t xml:space="preserve">Révision moteur et groupe électrogène</t>
  </si>
  <si>
    <t xml:space="preserve">Saint-Jean-de-Losne : moteur à 26 000 h.</t>
  </si>
  <si>
    <t xml:space="preserve">Assainissement (eaux noires et grises)</t>
  </si>
  <si>
    <t xml:space="preserve">Saint-Jean-de-Losne : aucune cuve d'eaux noires annoncée. Lien avec le projet zéro-rejet.</t>
  </si>
  <si>
    <t xml:space="preserve">Aménagement, lestage, plancher de cale</t>
  </si>
  <si>
    <t xml:space="preserve">Saint-Mammès : cale déjà lestée avec cornières ; Saint-Jean-de-Losne : plan d'aménagement des cales en annexe.</t>
  </si>
  <si>
    <t xml:space="preserve">Autres postes</t>
  </si>
  <si>
    <t xml:space="preserve">À préciser.</t>
  </si>
  <si>
    <t xml:space="preserve">4. Totaux</t>
  </si>
  <si>
    <t xml:space="preserve">Sous-total des coûts à chiffrer (€)</t>
  </si>
  <si>
    <t xml:space="preserve">Somme des postes de la section 3.</t>
  </si>
  <si>
    <t xml:space="preserve">Imprévus (€)</t>
  </si>
  <si>
    <t xml:space="preserve">Taux de l'onglet Hypotheses (15 %, source : Bible Technique 6.3) appliqué aux coûts à chiffrer, hors prix d'achat.</t>
  </si>
  <si>
    <t xml:space="preserve">TOTAL DU PROJET (€)</t>
  </si>
  <si>
    <t xml:space="preserve">Prix retenu + coûts à chiffrer + imprévus. C'est le montant à présenter aux banques.</t>
  </si>
  <si>
    <t xml:space="preserve">Postes encore sans montant (nombre)</t>
  </si>
  <si>
    <t xml:space="preserve">Nombre de postes de la section 3 non renseignés : tant qu'il est supérieur à 0, le total est sous-estimé.</t>
  </si>
  <si>
    <t xml:space="preserve">5. Financement</t>
  </si>
  <si>
    <t xml:space="preserve">Apport personnel (€)</t>
  </si>
  <si>
    <t xml:space="preserve">Saisi par vous.</t>
  </si>
  <si>
    <t xml:space="preserve">Prêt d'achat envisagé (€)</t>
  </si>
  <si>
    <t xml:space="preserve">Votre piste : un prêt d'achat proche de 50 000 € serait plus facile à obtenir (à valider avec les banques).</t>
  </si>
  <si>
    <t xml:space="preserve">Prêt travaux envisagé (€)</t>
  </si>
  <si>
    <t xml:space="preserve">Second prêt éventuel dédié aux travaux et à la mise en conformité.</t>
  </si>
  <si>
    <t xml:space="preserve">Total financé (€)</t>
  </si>
  <si>
    <t xml:space="preserve">Apport + prêt d'achat + prêt travaux.</t>
  </si>
  <si>
    <t xml:space="preserve">Reste à financer (€)</t>
  </si>
  <si>
    <t xml:space="preserve">Positif : il manque ce montant (en rouge) ; négatif : marge disponible.</t>
  </si>
  <si>
    <t xml:space="preserve">Prix retenu sous le seuil visé pour le prêt d'achat ?</t>
  </si>
  <si>
    <t xml:space="preserve">Seuil dans l'onglet Hypotheses (50 000 €, non ferme).</t>
  </si>
  <si>
    <t xml:space="preserve">Hypothèses du budget</t>
  </si>
  <si>
    <t xml:space="preserve">Hypothèse</t>
  </si>
  <si>
    <t xml:space="preserve">Valeur</t>
  </si>
  <si>
    <t xml:space="preserve">Source / remarque</t>
  </si>
  <si>
    <t xml:space="preserve">Seuil visé pour le prêt d'achat (€)</t>
  </si>
  <si>
    <t xml:space="preserve">Source : utilisateur, 17 octobre 2026. Ce seuil n'est pas un plafond ferme : à voir avec les banques.</t>
  </si>
  <si>
    <t xml:space="preserve">Taux d'imprévus appliqué aux coûts à chiffrer</t>
  </si>
  <si>
    <t xml:space="preserve">Source : Bible Technique, section 6.3 (matrice de risques), « marge pour imprévus de 15 % ». Modifiable.</t>
  </si>
  <si>
    <t xml:space="preserve">Date des prix demandés</t>
  </si>
  <si>
    <t xml:space="preserve">22 octobre 2026</t>
  </si>
  <si>
    <t xml:space="preserve">Prix relevés dans les annonces Leboncoin collées par l'utilisateur ; ce sont des prix demandés, pas des prix de vente.</t>
  </si>
  <si>
    <t xml:space="preserve">Rendez-vous bancaires : grille de comparaison</t>
  </si>
  <si>
    <t xml:space="preserve">À remplir pendant les entretiens (deux établissements au moins, dont le Crédit Maritime). Les cases jaunes sont à saisir ; la colonne grise donne le format attendu (valeurs fictives).</t>
  </si>
  <si>
    <t xml:space="preserve">Critère</t>
  </si>
  <si>
    <t xml:space="preserve">Crédit Maritime</t>
  </si>
  <si>
    <t xml:space="preserve">Banque 2</t>
  </si>
  <si>
    <t xml:space="preserve">Banque 3</t>
  </si>
  <si>
    <t xml:space="preserve">Exemple de format (fictif)</t>
  </si>
  <si>
    <t xml:space="preserve">Type de prêt (personnel, affecté, crédit maritime)</t>
  </si>
  <si>
    <t xml:space="preserve">Prêt personnel</t>
  </si>
  <si>
    <t xml:space="preserve">Montant maximum pour un bateau (€)</t>
  </si>
  <si>
    <t xml:space="preserve">40 000</t>
  </si>
  <si>
    <t xml:space="preserve">Taux nominal</t>
  </si>
  <si>
    <t xml:space="preserve">4,0 %</t>
  </si>
  <si>
    <t xml:space="preserve">Durée maximale</t>
  </si>
  <si>
    <t xml:space="preserve">7 ans</t>
  </si>
  <si>
    <t xml:space="preserve">Prêt d'achat et prêt travaux séparés possibles ?</t>
  </si>
  <si>
    <t xml:space="preserve">Oui / non</t>
  </si>
  <si>
    <t xml:space="preserve">Garantie demandée (hypothèque fluviale ou sans garantie sur le bateau)</t>
  </si>
  <si>
    <t xml:space="preserve">Sans garantie</t>
  </si>
  <si>
    <t xml:space="preserve">Documents exigés (expertise de coque, titre de navigation, assurance, emplacement)</t>
  </si>
  <si>
    <t xml:space="preserve">Liste des pièces</t>
  </si>
  <si>
    <t xml:space="preserve">Prêt possible sous condition d'expertise favorable ?</t>
  </si>
  <si>
    <t xml:space="preserve">Frais de dossier et assurance emprunteur</t>
  </si>
  <si>
    <t xml:space="preserve">Montant ou %</t>
  </si>
  <si>
    <t xml:space="preserve">Délai de réponse</t>
  </si>
  <si>
    <t xml:space="preserve">3 semaines</t>
  </si>
  <si>
    <t xml:space="preserve">Interlocuteur et date du rendez-vous</t>
  </si>
  <si>
    <t xml:space="preserve">Nom, JJ/MM/AAAA</t>
  </si>
  <si>
    <t xml:space="preserve">Mode d'emploi</t>
  </si>
  <si>
    <t xml:space="preserve">À quoi sert ce classeur</t>
  </si>
  <si>
    <t xml:space="preserve">Comparer le coût total de quatre candidats (Creil, Saint-Mammès, Arleux, Saint-Jean-de-Losne) et préparer vos rendez-vous bancaires. Une colonne « Autre candidat » est libre.</t>
  </si>
  <si>
    <t xml:space="preserve">Ce que vous devez remplir</t>
  </si>
  <si>
    <t xml:space="preserve">Onglet « Budget total » : cases jaunes de la section 2 (prix visé), de la section 3 (devis) et de la section 5 (apport et prêts). Onglet « Banques » : cases jaunes pendant les entretiens. Onglet « Hypotheses » : seuil de prêt et taux d'imprévus, modifiables.</t>
  </si>
  <si>
    <t xml:space="preserve">Ce qui est calculé</t>
  </si>
  <si>
    <t xml:space="preserve">Prix retenu, sous-total, imprévus, total du projet, postes sans montant, total financé, reste à financer et test du seuil de 50 000 €. Ces cellules sont des formules : ne pas les écraser.</t>
  </si>
  <si>
    <t xml:space="preserve">Exemple de format</t>
  </si>
  <si>
    <t xml:space="preserve">La colonne grise « Exemple de format » de l'onglet Budget total utilise des valeurs fictives (1 000 € partout) uniquement pour montrer le format. Elle n'entre dans aucune comparaison.</t>
  </si>
  <si>
    <t xml:space="preserve">Origine des chiffres</t>
  </si>
  <si>
    <t xml:space="preserve">Les prix demandés viennent des annonces Leboncoin collées par l'utilisateur (relevés le 22 octobre 2026). Le taux d'imprévus de 15 % vient de la Bible Technique (section 6.3). Le seuil de 50 000 € vient de l'utilisateur. Aucun coût de travaux, d'expertise, d'assurance ou d'emplacement n'est estimé : ils doivent venir de devis.</t>
  </si>
  <si>
    <t xml:space="preserve">Limite importante</t>
  </si>
  <si>
    <t xml:space="preserve">Les prix sont des prix demandés, pas des prix de vente. Tant que des postes restent sans montant, le total du projet est sous-estimé. La COT n'est pas cessible de plein droit : le poste « emplacement » doit être confirmé auprès du gestionnaire avant de s'engager.</t>
  </si>
  <si>
    <t xml:space="preserve">Avertissement</t>
  </si>
  <si>
    <t xml:space="preserve">Ce tableau est un outil de préparation, pas un conseil financier ou juridique : les conditions de prêt sont à valider auprès des banques.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</si>
</sst>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\(#,##0&quot; €)&quot;;\-"/>
    <numFmt numFmtId="166" formatCode="0"/>
    <numFmt numFmtId="167" formatCode="@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0000"/>
        <sz val="10"/>
      </font>
    </dxf>
    <dxf>
      <font>
        <name val="Arial"/>
        <charset val="1"/>
        <family val="0"/>
        <b val="1"/>
        <color rgb="FFC55A11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eboncoin.fr/ad/nautisme/3243153381" TargetMode="External"/><Relationship Id="rId2" Type="http://schemas.openxmlformats.org/officeDocument/2006/relationships/hyperlink" Target="https://www.leboncoin.fr/ad/nautisme/3253976756" TargetMode="External"/><Relationship Id="rId3" Type="http://schemas.openxmlformats.org/officeDocument/2006/relationships/hyperlink" Target="https://www.leboncoin.fr/ad/nautisme/3132319776" TargetMode="External"/><Relationship Id="rId4" Type="http://schemas.openxmlformats.org/officeDocument/2006/relationships/hyperlink" Target="https://www.leboncoin.fr/ad/nautisme/326562678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26"/>
    <col collapsed="false" customWidth="true" hidden="false" outlineLevel="0" max="8" min="8" style="1" width="5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true" outlineLevel="0" collapsed="false">
      <c r="A6" s="5" t="s">
        <v>11</v>
      </c>
      <c r="B6" s="6"/>
      <c r="C6" s="6"/>
      <c r="D6" s="6"/>
      <c r="E6" s="6"/>
      <c r="F6" s="6"/>
      <c r="G6" s="6"/>
      <c r="H6" s="6"/>
    </row>
    <row r="7" customFormat="false" ht="27.75" hidden="false" customHeight="true" outlineLevel="0" collapsed="false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9"/>
      <c r="G7" s="10" t="s">
        <v>17</v>
      </c>
      <c r="H7" s="11" t="s">
        <v>18</v>
      </c>
    </row>
    <row r="8" customFormat="false" ht="39.75" hidden="false" customHeight="true" outlineLevel="0" collapsed="false">
      <c r="A8" s="7" t="s">
        <v>19</v>
      </c>
      <c r="B8" s="9" t="s">
        <v>20</v>
      </c>
      <c r="C8" s="9" t="s">
        <v>21</v>
      </c>
      <c r="D8" s="9" t="s">
        <v>22</v>
      </c>
      <c r="E8" s="9" t="s">
        <v>23</v>
      </c>
      <c r="F8" s="9"/>
      <c r="G8" s="10" t="s">
        <v>24</v>
      </c>
      <c r="H8" s="11" t="s">
        <v>25</v>
      </c>
    </row>
    <row r="9" customFormat="false" ht="51.75" hidden="false" customHeight="true" outlineLevel="0" collapsed="false">
      <c r="A9" s="7" t="s">
        <v>26</v>
      </c>
      <c r="B9" s="9" t="s">
        <v>27</v>
      </c>
      <c r="C9" s="9" t="s">
        <v>28</v>
      </c>
      <c r="D9" s="9" t="s">
        <v>29</v>
      </c>
      <c r="E9" s="9" t="s">
        <v>30</v>
      </c>
      <c r="F9" s="9"/>
      <c r="G9" s="10" t="s">
        <v>31</v>
      </c>
      <c r="H9" s="11" t="s">
        <v>32</v>
      </c>
    </row>
    <row r="10" customFormat="false" ht="51.75" hidden="false" customHeight="true" outlineLevel="0" collapsed="false">
      <c r="A10" s="7" t="s">
        <v>33</v>
      </c>
      <c r="B10" s="9" t="s">
        <v>34</v>
      </c>
      <c r="C10" s="9" t="s">
        <v>28</v>
      </c>
      <c r="D10" s="9" t="s">
        <v>35</v>
      </c>
      <c r="E10" s="9" t="s">
        <v>36</v>
      </c>
      <c r="F10" s="9"/>
      <c r="G10" s="10" t="s">
        <v>37</v>
      </c>
      <c r="H10" s="11" t="s">
        <v>38</v>
      </c>
    </row>
    <row r="11" customFormat="false" ht="51.75" hidden="false" customHeight="true" outlineLevel="0" collapsed="false">
      <c r="A11" s="7" t="s">
        <v>39</v>
      </c>
      <c r="B11" s="9" t="s">
        <v>40</v>
      </c>
      <c r="C11" s="9" t="s">
        <v>28</v>
      </c>
      <c r="D11" s="9" t="s">
        <v>28</v>
      </c>
      <c r="E11" s="9" t="s">
        <v>41</v>
      </c>
      <c r="F11" s="9"/>
      <c r="G11" s="10" t="s">
        <v>42</v>
      </c>
      <c r="H11" s="11" t="s">
        <v>43</v>
      </c>
    </row>
    <row r="12" customFormat="false" ht="51.75" hidden="false" customHeight="true" outlineLevel="0" collapsed="false">
      <c r="A12" s="7" t="s">
        <v>44</v>
      </c>
      <c r="B12" s="9" t="s">
        <v>45</v>
      </c>
      <c r="C12" s="9" t="s">
        <v>46</v>
      </c>
      <c r="D12" s="9" t="s">
        <v>47</v>
      </c>
      <c r="E12" s="9" t="s">
        <v>48</v>
      </c>
      <c r="F12" s="9"/>
      <c r="G12" s="10" t="s">
        <v>49</v>
      </c>
      <c r="H12" s="11" t="s">
        <v>25</v>
      </c>
    </row>
    <row r="13" customFormat="false" ht="15" hidden="false" customHeight="true" outlineLevel="0" collapsed="false">
      <c r="A13" s="5" t="s">
        <v>50</v>
      </c>
      <c r="B13" s="6"/>
      <c r="C13" s="6"/>
      <c r="D13" s="6"/>
      <c r="E13" s="6"/>
      <c r="F13" s="6"/>
      <c r="G13" s="6"/>
      <c r="H13" s="6"/>
    </row>
    <row r="14" customFormat="false" ht="30" hidden="false" customHeight="true" outlineLevel="0" collapsed="false">
      <c r="A14" s="7" t="s">
        <v>51</v>
      </c>
      <c r="B14" s="12" t="n">
        <v>48000</v>
      </c>
      <c r="C14" s="12" t="n">
        <v>70000</v>
      </c>
      <c r="D14" s="12" t="n">
        <v>70000</v>
      </c>
      <c r="E14" s="12" t="n">
        <v>90000</v>
      </c>
      <c r="F14" s="12"/>
      <c r="G14" s="13" t="n">
        <v>50000</v>
      </c>
      <c r="H14" s="11" t="s">
        <v>52</v>
      </c>
    </row>
    <row r="15" customFormat="false" ht="30" hidden="false" customHeight="true" outlineLevel="0" collapsed="false">
      <c r="A15" s="7" t="s">
        <v>53</v>
      </c>
      <c r="B15" s="14"/>
      <c r="C15" s="14"/>
      <c r="D15" s="14"/>
      <c r="E15" s="14"/>
      <c r="F15" s="14"/>
      <c r="G15" s="13" t="n">
        <v>45000</v>
      </c>
      <c r="H15" s="11" t="s">
        <v>54</v>
      </c>
    </row>
    <row r="16" customFormat="false" ht="15" hidden="false" customHeight="true" outlineLevel="0" collapsed="false">
      <c r="A16" s="15" t="s">
        <v>55</v>
      </c>
      <c r="B16" s="16" t="n">
        <f aca="false">IF(B15="",B14,B15)</f>
        <v>48000</v>
      </c>
      <c r="C16" s="16" t="n">
        <f aca="false">IF(C15="",C14,C15)</f>
        <v>70000</v>
      </c>
      <c r="D16" s="16" t="n">
        <f aca="false">IF(D15="",D14,D15)</f>
        <v>70000</v>
      </c>
      <c r="E16" s="16" t="n">
        <f aca="false">IF(E15="",E14,E15)</f>
        <v>90000</v>
      </c>
      <c r="F16" s="16" t="n">
        <f aca="false">IF(F15="",F14,F15)</f>
        <v>0</v>
      </c>
      <c r="G16" s="16" t="n">
        <f aca="false">IF(G15="",G14,G15)</f>
        <v>45000</v>
      </c>
      <c r="H16" s="11" t="s">
        <v>56</v>
      </c>
    </row>
    <row r="17" customFormat="false" ht="15" hidden="false" customHeight="true" outlineLevel="0" collapsed="false">
      <c r="A17" s="5" t="s">
        <v>57</v>
      </c>
      <c r="B17" s="6"/>
      <c r="C17" s="6"/>
      <c r="D17" s="6"/>
      <c r="E17" s="6"/>
      <c r="F17" s="6"/>
      <c r="G17" s="6"/>
      <c r="H17" s="6"/>
    </row>
    <row r="18" customFormat="false" ht="30" hidden="false" customHeight="true" outlineLevel="0" collapsed="false">
      <c r="A18" s="7" t="s">
        <v>58</v>
      </c>
      <c r="B18" s="14"/>
      <c r="C18" s="14"/>
      <c r="D18" s="14"/>
      <c r="E18" s="14"/>
      <c r="F18" s="14"/>
      <c r="G18" s="13" t="n">
        <v>1000</v>
      </c>
      <c r="H18" s="11" t="s">
        <v>59</v>
      </c>
    </row>
    <row r="19" customFormat="false" ht="30" hidden="false" customHeight="true" outlineLevel="0" collapsed="false">
      <c r="A19" s="7" t="s">
        <v>60</v>
      </c>
      <c r="B19" s="14"/>
      <c r="C19" s="14"/>
      <c r="D19" s="14"/>
      <c r="E19" s="14"/>
      <c r="F19" s="14"/>
      <c r="G19" s="13" t="n">
        <v>1000</v>
      </c>
      <c r="H19" s="11" t="s">
        <v>61</v>
      </c>
    </row>
    <row r="20" customFormat="false" ht="30" hidden="false" customHeight="true" outlineLevel="0" collapsed="false">
      <c r="A20" s="7" t="s">
        <v>62</v>
      </c>
      <c r="B20" s="14"/>
      <c r="C20" s="14"/>
      <c r="D20" s="14"/>
      <c r="E20" s="14"/>
      <c r="F20" s="14"/>
      <c r="G20" s="13" t="n">
        <v>1000</v>
      </c>
      <c r="H20" s="11" t="s">
        <v>63</v>
      </c>
    </row>
    <row r="21" customFormat="false" ht="30" hidden="false" customHeight="true" outlineLevel="0" collapsed="false">
      <c r="A21" s="7" t="s">
        <v>64</v>
      </c>
      <c r="B21" s="14"/>
      <c r="C21" s="14"/>
      <c r="D21" s="14"/>
      <c r="E21" s="14"/>
      <c r="F21" s="14"/>
      <c r="G21" s="13" t="n">
        <v>1000</v>
      </c>
      <c r="H21" s="11" t="s">
        <v>65</v>
      </c>
    </row>
    <row r="22" customFormat="false" ht="30" hidden="false" customHeight="true" outlineLevel="0" collapsed="false">
      <c r="A22" s="7" t="s">
        <v>66</v>
      </c>
      <c r="B22" s="14"/>
      <c r="C22" s="14"/>
      <c r="D22" s="14"/>
      <c r="E22" s="14"/>
      <c r="F22" s="14"/>
      <c r="G22" s="13" t="n">
        <v>1000</v>
      </c>
      <c r="H22" s="11" t="s">
        <v>67</v>
      </c>
    </row>
    <row r="23" customFormat="false" ht="30" hidden="false" customHeight="true" outlineLevel="0" collapsed="false">
      <c r="A23" s="7" t="s">
        <v>68</v>
      </c>
      <c r="B23" s="14"/>
      <c r="C23" s="14"/>
      <c r="D23" s="14"/>
      <c r="E23" s="14"/>
      <c r="F23" s="14"/>
      <c r="G23" s="13" t="n">
        <v>1000</v>
      </c>
      <c r="H23" s="11" t="s">
        <v>69</v>
      </c>
    </row>
    <row r="24" customFormat="false" ht="30" hidden="false" customHeight="true" outlineLevel="0" collapsed="false">
      <c r="A24" s="7" t="s">
        <v>70</v>
      </c>
      <c r="B24" s="14"/>
      <c r="C24" s="14"/>
      <c r="D24" s="14"/>
      <c r="E24" s="14"/>
      <c r="F24" s="14"/>
      <c r="G24" s="13" t="n">
        <v>1000</v>
      </c>
      <c r="H24" s="11" t="s">
        <v>71</v>
      </c>
    </row>
    <row r="25" customFormat="false" ht="30" hidden="false" customHeight="true" outlineLevel="0" collapsed="false">
      <c r="A25" s="7" t="s">
        <v>72</v>
      </c>
      <c r="B25" s="14"/>
      <c r="C25" s="14"/>
      <c r="D25" s="14"/>
      <c r="E25" s="14"/>
      <c r="F25" s="14"/>
      <c r="G25" s="13" t="n">
        <v>1000</v>
      </c>
      <c r="H25" s="11" t="s">
        <v>73</v>
      </c>
    </row>
    <row r="26" customFormat="false" ht="30" hidden="false" customHeight="true" outlineLevel="0" collapsed="false">
      <c r="A26" s="7" t="s">
        <v>74</v>
      </c>
      <c r="B26" s="14"/>
      <c r="C26" s="14"/>
      <c r="D26" s="14"/>
      <c r="E26" s="14"/>
      <c r="F26" s="14"/>
      <c r="G26" s="13" t="n">
        <v>1000</v>
      </c>
      <c r="H26" s="11" t="s">
        <v>75</v>
      </c>
    </row>
    <row r="27" customFormat="false" ht="30" hidden="false" customHeight="true" outlineLevel="0" collapsed="false">
      <c r="A27" s="7" t="s">
        <v>76</v>
      </c>
      <c r="B27" s="14"/>
      <c r="C27" s="14"/>
      <c r="D27" s="14"/>
      <c r="E27" s="14"/>
      <c r="F27" s="14"/>
      <c r="G27" s="13" t="n">
        <v>1000</v>
      </c>
      <c r="H27" s="11" t="s">
        <v>77</v>
      </c>
    </row>
    <row r="28" customFormat="false" ht="30" hidden="false" customHeight="true" outlineLevel="0" collapsed="false">
      <c r="A28" s="7" t="s">
        <v>78</v>
      </c>
      <c r="B28" s="14"/>
      <c r="C28" s="14"/>
      <c r="D28" s="14"/>
      <c r="E28" s="14"/>
      <c r="F28" s="14"/>
      <c r="G28" s="13" t="n">
        <v>1000</v>
      </c>
      <c r="H28" s="11" t="s">
        <v>79</v>
      </c>
    </row>
    <row r="29" customFormat="false" ht="30" hidden="false" customHeight="true" outlineLevel="0" collapsed="false">
      <c r="A29" s="7" t="s">
        <v>80</v>
      </c>
      <c r="B29" s="14"/>
      <c r="C29" s="14"/>
      <c r="D29" s="14"/>
      <c r="E29" s="14"/>
      <c r="F29" s="14"/>
      <c r="G29" s="13" t="n">
        <v>1000</v>
      </c>
      <c r="H29" s="11" t="s">
        <v>81</v>
      </c>
    </row>
    <row r="30" customFormat="false" ht="30" hidden="false" customHeight="true" outlineLevel="0" collapsed="false">
      <c r="A30" s="7" t="s">
        <v>82</v>
      </c>
      <c r="B30" s="14"/>
      <c r="C30" s="14"/>
      <c r="D30" s="14"/>
      <c r="E30" s="14"/>
      <c r="F30" s="14"/>
      <c r="G30" s="13" t="n">
        <v>1000</v>
      </c>
      <c r="H30" s="11" t="s">
        <v>83</v>
      </c>
    </row>
    <row r="31" customFormat="false" ht="15" hidden="false" customHeight="true" outlineLevel="0" collapsed="false">
      <c r="A31" s="5" t="s">
        <v>84</v>
      </c>
      <c r="B31" s="6"/>
      <c r="C31" s="6"/>
      <c r="D31" s="6"/>
      <c r="E31" s="6"/>
      <c r="F31" s="6"/>
      <c r="G31" s="6"/>
      <c r="H31" s="6"/>
    </row>
    <row r="32" customFormat="false" ht="30" hidden="false" customHeight="true" outlineLevel="0" collapsed="false">
      <c r="A32" s="7" t="s">
        <v>85</v>
      </c>
      <c r="B32" s="17" t="n">
        <f aca="false">SUM(B18:B30)</f>
        <v>0</v>
      </c>
      <c r="C32" s="17" t="n">
        <f aca="false">SUM(C18:C30)</f>
        <v>0</v>
      </c>
      <c r="D32" s="17" t="n">
        <f aca="false">SUM(D18:D30)</f>
        <v>0</v>
      </c>
      <c r="E32" s="17" t="n">
        <f aca="false">SUM(E18:E30)</f>
        <v>0</v>
      </c>
      <c r="F32" s="17" t="n">
        <f aca="false">SUM(F18:F30)</f>
        <v>0</v>
      </c>
      <c r="G32" s="18" t="n">
        <f aca="false">SUM(G18:G30)</f>
        <v>13000</v>
      </c>
      <c r="H32" s="11" t="s">
        <v>86</v>
      </c>
    </row>
    <row r="33" customFormat="false" ht="30" hidden="false" customHeight="true" outlineLevel="0" collapsed="false">
      <c r="A33" s="7" t="s">
        <v>87</v>
      </c>
      <c r="B33" s="19" t="n">
        <f aca="false">Hypotheses!$B$5*B32</f>
        <v>0</v>
      </c>
      <c r="C33" s="19" t="n">
        <f aca="false">Hypotheses!$B$5*C32</f>
        <v>0</v>
      </c>
      <c r="D33" s="19" t="n">
        <f aca="false">Hypotheses!$B$5*D32</f>
        <v>0</v>
      </c>
      <c r="E33" s="19" t="n">
        <f aca="false">Hypotheses!$B$5*E32</f>
        <v>0</v>
      </c>
      <c r="F33" s="19" t="n">
        <f aca="false">Hypotheses!$B$5*F32</f>
        <v>0</v>
      </c>
      <c r="G33" s="20" t="n">
        <f aca="false">Hypotheses!$B$5*G32</f>
        <v>1950</v>
      </c>
      <c r="H33" s="11" t="s">
        <v>88</v>
      </c>
    </row>
    <row r="34" customFormat="false" ht="30" hidden="false" customHeight="true" outlineLevel="0" collapsed="false">
      <c r="A34" s="15" t="s">
        <v>89</v>
      </c>
      <c r="B34" s="21" t="n">
        <f aca="false">B16+B32+B33</f>
        <v>48000</v>
      </c>
      <c r="C34" s="21" t="n">
        <f aca="false">C16+C32+C33</f>
        <v>70000</v>
      </c>
      <c r="D34" s="21" t="n">
        <f aca="false">D16+D32+D33</f>
        <v>70000</v>
      </c>
      <c r="E34" s="21" t="n">
        <f aca="false">E16+E32+E33</f>
        <v>90000</v>
      </c>
      <c r="F34" s="21" t="n">
        <f aca="false">F16+F32+F33</f>
        <v>0</v>
      </c>
      <c r="G34" s="22" t="n">
        <f aca="false">G16+G32+G33</f>
        <v>59950</v>
      </c>
      <c r="H34" s="11" t="s">
        <v>90</v>
      </c>
    </row>
    <row r="35" customFormat="false" ht="30" hidden="false" customHeight="true" outlineLevel="0" collapsed="false">
      <c r="A35" s="7" t="s">
        <v>91</v>
      </c>
      <c r="B35" s="23" t="n">
        <f aca="false">COUNTBLANK(B18:B30)</f>
        <v>13</v>
      </c>
      <c r="C35" s="23" t="n">
        <f aca="false">COUNTBLANK(C18:C30)</f>
        <v>13</v>
      </c>
      <c r="D35" s="23" t="n">
        <f aca="false">COUNTBLANK(D18:D30)</f>
        <v>13</v>
      </c>
      <c r="E35" s="23" t="n">
        <f aca="false">COUNTBLANK(E18:E30)</f>
        <v>13</v>
      </c>
      <c r="F35" s="23" t="n">
        <f aca="false">COUNTBLANK(F18:F30)</f>
        <v>13</v>
      </c>
      <c r="G35" s="24" t="n">
        <f aca="false">COUNTBLANK(G18:G30)</f>
        <v>0</v>
      </c>
      <c r="H35" s="11" t="s">
        <v>92</v>
      </c>
    </row>
    <row r="36" customFormat="false" ht="15" hidden="false" customHeight="true" outlineLevel="0" collapsed="false">
      <c r="A36" s="5" t="s">
        <v>93</v>
      </c>
      <c r="B36" s="6"/>
      <c r="C36" s="6"/>
      <c r="D36" s="6"/>
      <c r="E36" s="6"/>
      <c r="F36" s="6"/>
      <c r="G36" s="6"/>
      <c r="H36" s="6"/>
    </row>
    <row r="37" customFormat="false" ht="24" hidden="false" customHeight="true" outlineLevel="0" collapsed="false">
      <c r="A37" s="7" t="s">
        <v>94</v>
      </c>
      <c r="B37" s="14"/>
      <c r="C37" s="14"/>
      <c r="D37" s="14"/>
      <c r="E37" s="14"/>
      <c r="F37" s="14"/>
      <c r="G37" s="13" t="n">
        <v>1000</v>
      </c>
      <c r="H37" s="11" t="s">
        <v>95</v>
      </c>
    </row>
    <row r="38" customFormat="false" ht="39.75" hidden="false" customHeight="true" outlineLevel="0" collapsed="false">
      <c r="A38" s="7" t="s">
        <v>96</v>
      </c>
      <c r="B38" s="14"/>
      <c r="C38" s="14"/>
      <c r="D38" s="14"/>
      <c r="E38" s="14"/>
      <c r="F38" s="14"/>
      <c r="G38" s="13" t="n">
        <v>1000</v>
      </c>
      <c r="H38" s="11" t="s">
        <v>97</v>
      </c>
    </row>
    <row r="39" customFormat="false" ht="30" hidden="false" customHeight="true" outlineLevel="0" collapsed="false">
      <c r="A39" s="7" t="s">
        <v>98</v>
      </c>
      <c r="B39" s="14"/>
      <c r="C39" s="14"/>
      <c r="D39" s="14"/>
      <c r="E39" s="14"/>
      <c r="F39" s="14"/>
      <c r="G39" s="13" t="n">
        <v>1000</v>
      </c>
      <c r="H39" s="11" t="s">
        <v>99</v>
      </c>
    </row>
    <row r="40" customFormat="false" ht="30" hidden="false" customHeight="true" outlineLevel="0" collapsed="false">
      <c r="A40" s="7" t="s">
        <v>100</v>
      </c>
      <c r="B40" s="17" t="n">
        <f aca="false">SUM(B37:B39)</f>
        <v>0</v>
      </c>
      <c r="C40" s="17" t="n">
        <f aca="false">SUM(C37:C39)</f>
        <v>0</v>
      </c>
      <c r="D40" s="17" t="n">
        <f aca="false">SUM(D37:D39)</f>
        <v>0</v>
      </c>
      <c r="E40" s="17" t="n">
        <f aca="false">SUM(E37:E39)</f>
        <v>0</v>
      </c>
      <c r="F40" s="17" t="n">
        <f aca="false">SUM(F37:F39)</f>
        <v>0</v>
      </c>
      <c r="G40" s="18" t="n">
        <f aca="false">SUM(G37:G39)</f>
        <v>3000</v>
      </c>
      <c r="H40" s="11" t="s">
        <v>101</v>
      </c>
    </row>
    <row r="41" customFormat="false" ht="30" hidden="false" customHeight="true" outlineLevel="0" collapsed="false">
      <c r="A41" s="15" t="s">
        <v>102</v>
      </c>
      <c r="B41" s="21" t="n">
        <f aca="false">B34-B40</f>
        <v>48000</v>
      </c>
      <c r="C41" s="21" t="n">
        <f aca="false">C34-C40</f>
        <v>70000</v>
      </c>
      <c r="D41" s="21" t="n">
        <f aca="false">D34-D40</f>
        <v>70000</v>
      </c>
      <c r="E41" s="21" t="n">
        <f aca="false">E34-E40</f>
        <v>90000</v>
      </c>
      <c r="F41" s="21" t="n">
        <f aca="false">F34-F40</f>
        <v>0</v>
      </c>
      <c r="G41" s="22" t="n">
        <f aca="false">G34-G40</f>
        <v>56950</v>
      </c>
      <c r="H41" s="11" t="s">
        <v>103</v>
      </c>
    </row>
    <row r="42" customFormat="false" ht="30" hidden="false" customHeight="true" outlineLevel="0" collapsed="false">
      <c r="A42" s="7" t="s">
        <v>104</v>
      </c>
      <c r="B42" s="25" t="str">
        <f aca="false">IF(B16=0,"",IF(B16&lt;=Hypotheses!$B$4,"Oui","Non"))</f>
        <v>Oui</v>
      </c>
      <c r="C42" s="25" t="str">
        <f aca="false">IF(C16=0,"",IF(C16&lt;=Hypotheses!$B$4,"Oui","Non"))</f>
        <v>Non</v>
      </c>
      <c r="D42" s="25" t="str">
        <f aca="false">IF(D16=0,"",IF(D16&lt;=Hypotheses!$B$4,"Oui","Non"))</f>
        <v>Non</v>
      </c>
      <c r="E42" s="25" t="str">
        <f aca="false">IF(E16=0,"",IF(E16&lt;=Hypotheses!$B$4,"Oui","Non"))</f>
        <v>Non</v>
      </c>
      <c r="F42" s="25" t="str">
        <f aca="false">IF(F16=0,"",IF(F16&lt;=Hypotheses!$B$4,"Oui","Non"))</f>
        <v/>
      </c>
      <c r="G42" s="26" t="str">
        <f aca="false">IF(G16=0,"",IF(G16&lt;=Hypotheses!$B$4,"Oui","Non"))</f>
        <v>Oui</v>
      </c>
      <c r="H42" s="11" t="s">
        <v>105</v>
      </c>
    </row>
  </sheetData>
  <conditionalFormatting sqref="B41">
    <cfRule type="cellIs" priority="2" operator="greaterThan" aboveAverage="0" equalAverage="0" bottom="0" percent="0" rank="0" text="" dxfId="0">
      <formula>0</formula>
    </cfRule>
  </conditionalFormatting>
  <conditionalFormatting sqref="B35">
    <cfRule type="cellIs" priority="3" operator="greaterThan" aboveAverage="0" equalAverage="0" bottom="0" percent="0" rank="0" text="" dxfId="1">
      <formula>0</formula>
    </cfRule>
  </conditionalFormatting>
  <conditionalFormatting sqref="C41">
    <cfRule type="cellIs" priority="4" operator="greaterThan" aboveAverage="0" equalAverage="0" bottom="0" percent="0" rank="0" text="" dxfId="0">
      <formula>0</formula>
    </cfRule>
  </conditionalFormatting>
  <conditionalFormatting sqref="C35">
    <cfRule type="cellIs" priority="5" operator="greaterThan" aboveAverage="0" equalAverage="0" bottom="0" percent="0" rank="0" text="" dxfId="1">
      <formula>0</formula>
    </cfRule>
  </conditionalFormatting>
  <conditionalFormatting sqref="D41">
    <cfRule type="cellIs" priority="6" operator="greaterThan" aboveAverage="0" equalAverage="0" bottom="0" percent="0" rank="0" text="" dxfId="0">
      <formula>0</formula>
    </cfRule>
  </conditionalFormatting>
  <conditionalFormatting sqref="D35">
    <cfRule type="cellIs" priority="7" operator="greaterThan" aboveAverage="0" equalAverage="0" bottom="0" percent="0" rank="0" text="" dxfId="1">
      <formula>0</formula>
    </cfRule>
  </conditionalFormatting>
  <conditionalFormatting sqref="E41">
    <cfRule type="cellIs" priority="8" operator="greaterThan" aboveAverage="0" equalAverage="0" bottom="0" percent="0" rank="0" text="" dxfId="0">
      <formula>0</formula>
    </cfRule>
  </conditionalFormatting>
  <conditionalFormatting sqref="E35">
    <cfRule type="cellIs" priority="9" operator="greaterThan" aboveAverage="0" equalAverage="0" bottom="0" percent="0" rank="0" text="" dxfId="1">
      <formula>0</formula>
    </cfRule>
  </conditionalFormatting>
  <conditionalFormatting sqref="F41">
    <cfRule type="cellIs" priority="10" operator="greaterThan" aboveAverage="0" equalAverage="0" bottom="0" percent="0" rank="0" text="" dxfId="0">
      <formula>0</formula>
    </cfRule>
  </conditionalFormatting>
  <conditionalFormatting sqref="F35">
    <cfRule type="cellIs" priority="11" operator="greaterThan" aboveAverage="0" equalAverage="0" bottom="0" percent="0" rank="0" text="" dxfId="1">
      <formula>0</formula>
    </cfRule>
  </conditionalFormatting>
  <conditionalFormatting sqref="G41">
    <cfRule type="cellIs" priority="12" operator="greaterThan" aboveAverage="0" equalAverage="0" bottom="0" percent="0" rank="0" text="" dxfId="0">
      <formula>0</formula>
    </cfRule>
  </conditionalFormatting>
  <conditionalFormatting sqref="G35">
    <cfRule type="cellIs" priority="13" operator="greaterThan" aboveAverage="0" equalAverage="0" bottom="0" percent="0" rank="0" text="" dxfId="1">
      <formula>0</formula>
    </cfRule>
  </conditionalFormatting>
  <hyperlinks>
    <hyperlink ref="B7" r:id="rId1" display="nautisme/3243153381"/>
    <hyperlink ref="C7" r:id="rId2" display="nautisme/3253976756"/>
    <hyperlink ref="D7" r:id="rId3" display="nautisme/3132319776"/>
    <hyperlink ref="E7" r:id="rId4" display="nautisme/326562678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2" t="s">
        <v>106</v>
      </c>
    </row>
    <row r="3" customFormat="false" ht="15" hidden="false" customHeight="true" outlineLevel="0" collapsed="false">
      <c r="A3" s="27" t="s">
        <v>107</v>
      </c>
      <c r="B3" s="27" t="s">
        <v>108</v>
      </c>
      <c r="C3" s="27" t="s">
        <v>109</v>
      </c>
    </row>
    <row r="4" customFormat="false" ht="30" hidden="false" customHeight="true" outlineLevel="0" collapsed="false">
      <c r="A4" s="7" t="s">
        <v>110</v>
      </c>
      <c r="B4" s="14" t="n">
        <v>50000</v>
      </c>
      <c r="C4" s="7" t="s">
        <v>111</v>
      </c>
    </row>
    <row r="5" customFormat="false" ht="30" hidden="false" customHeight="true" outlineLevel="0" collapsed="false">
      <c r="A5" s="7" t="s">
        <v>112</v>
      </c>
      <c r="B5" s="28" t="n">
        <v>0.15</v>
      </c>
      <c r="C5" s="7" t="s">
        <v>113</v>
      </c>
    </row>
    <row r="6" customFormat="false" ht="30" hidden="false" customHeight="true" outlineLevel="0" collapsed="false">
      <c r="A6" s="7" t="s">
        <v>114</v>
      </c>
      <c r="B6" s="9" t="s">
        <v>115</v>
      </c>
      <c r="C6" s="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5" min="2" style="1" width="28"/>
  </cols>
  <sheetData>
    <row r="1" customFormat="false" ht="17.25" hidden="false" customHeight="true" outlineLevel="0" collapsed="false">
      <c r="A1" s="2" t="s">
        <v>117</v>
      </c>
    </row>
    <row r="2" customFormat="false" ht="15" hidden="false" customHeight="true" outlineLevel="0" collapsed="false">
      <c r="A2" s="3" t="s">
        <v>118</v>
      </c>
    </row>
    <row r="4" customFormat="false" ht="15" hidden="false" customHeight="true" outlineLevel="0" collapsed="false">
      <c r="A4" s="4" t="s">
        <v>119</v>
      </c>
      <c r="B4" s="4" t="s">
        <v>120</v>
      </c>
      <c r="C4" s="4" t="s">
        <v>121</v>
      </c>
      <c r="D4" s="4" t="s">
        <v>122</v>
      </c>
      <c r="E4" s="4" t="s">
        <v>123</v>
      </c>
    </row>
    <row r="5" customFormat="false" ht="31.5" hidden="false" customHeight="true" outlineLevel="0" collapsed="false">
      <c r="A5" s="7" t="s">
        <v>124</v>
      </c>
      <c r="B5" s="29"/>
      <c r="C5" s="29"/>
      <c r="D5" s="29"/>
      <c r="E5" s="10" t="s">
        <v>125</v>
      </c>
    </row>
    <row r="6" customFormat="false" ht="31.5" hidden="false" customHeight="true" outlineLevel="0" collapsed="false">
      <c r="A6" s="7" t="s">
        <v>126</v>
      </c>
      <c r="B6" s="29"/>
      <c r="C6" s="29"/>
      <c r="D6" s="29"/>
      <c r="E6" s="10" t="s">
        <v>127</v>
      </c>
    </row>
    <row r="7" customFormat="false" ht="31.5" hidden="false" customHeight="true" outlineLevel="0" collapsed="false">
      <c r="A7" s="7" t="s">
        <v>128</v>
      </c>
      <c r="B7" s="29"/>
      <c r="C7" s="29"/>
      <c r="D7" s="29"/>
      <c r="E7" s="10" t="s">
        <v>129</v>
      </c>
    </row>
    <row r="8" customFormat="false" ht="31.5" hidden="false" customHeight="true" outlineLevel="0" collapsed="false">
      <c r="A8" s="7" t="s">
        <v>130</v>
      </c>
      <c r="B8" s="29"/>
      <c r="C8" s="29"/>
      <c r="D8" s="29"/>
      <c r="E8" s="10" t="s">
        <v>131</v>
      </c>
    </row>
    <row r="9" customFormat="false" ht="31.5" hidden="false" customHeight="true" outlineLevel="0" collapsed="false">
      <c r="A9" s="7" t="s">
        <v>132</v>
      </c>
      <c r="B9" s="29"/>
      <c r="C9" s="29"/>
      <c r="D9" s="29"/>
      <c r="E9" s="10" t="s">
        <v>133</v>
      </c>
    </row>
    <row r="10" customFormat="false" ht="31.5" hidden="false" customHeight="true" outlineLevel="0" collapsed="false">
      <c r="A10" s="7" t="s">
        <v>134</v>
      </c>
      <c r="B10" s="29"/>
      <c r="C10" s="29"/>
      <c r="D10" s="29"/>
      <c r="E10" s="10" t="s">
        <v>135</v>
      </c>
    </row>
    <row r="11" customFormat="false" ht="31.5" hidden="false" customHeight="true" outlineLevel="0" collapsed="false">
      <c r="A11" s="7" t="s">
        <v>136</v>
      </c>
      <c r="B11" s="29"/>
      <c r="C11" s="29"/>
      <c r="D11" s="29"/>
      <c r="E11" s="10" t="s">
        <v>137</v>
      </c>
    </row>
    <row r="12" customFormat="false" ht="31.5" hidden="false" customHeight="true" outlineLevel="0" collapsed="false">
      <c r="A12" s="7" t="s">
        <v>138</v>
      </c>
      <c r="B12" s="29"/>
      <c r="C12" s="29"/>
      <c r="D12" s="29"/>
      <c r="E12" s="10" t="s">
        <v>133</v>
      </c>
    </row>
    <row r="13" customFormat="false" ht="31.5" hidden="false" customHeight="true" outlineLevel="0" collapsed="false">
      <c r="A13" s="7" t="s">
        <v>139</v>
      </c>
      <c r="B13" s="29"/>
      <c r="C13" s="29"/>
      <c r="D13" s="29"/>
      <c r="E13" s="10" t="s">
        <v>140</v>
      </c>
    </row>
    <row r="14" customFormat="false" ht="31.5" hidden="false" customHeight="true" outlineLevel="0" collapsed="false">
      <c r="A14" s="7" t="s">
        <v>141</v>
      </c>
      <c r="B14" s="29"/>
      <c r="C14" s="29"/>
      <c r="D14" s="29"/>
      <c r="E14" s="10" t="s">
        <v>142</v>
      </c>
    </row>
    <row r="15" customFormat="false" ht="31.5" hidden="false" customHeight="true" outlineLevel="0" collapsed="false">
      <c r="A15" s="7" t="s">
        <v>143</v>
      </c>
      <c r="B15" s="29"/>
      <c r="C15" s="29"/>
      <c r="D15" s="29"/>
      <c r="E15" s="1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145</v>
      </c>
    </row>
    <row r="3" customFormat="false" ht="61.5" hidden="false" customHeight="true" outlineLevel="0" collapsed="false">
      <c r="A3" s="15" t="s">
        <v>146</v>
      </c>
      <c r="B3" s="7" t="s">
        <v>147</v>
      </c>
    </row>
    <row r="4" customFormat="false" ht="61.5" hidden="false" customHeight="true" outlineLevel="0" collapsed="false">
      <c r="A4" s="15" t="s">
        <v>148</v>
      </c>
      <c r="B4" s="7" t="s">
        <v>149</v>
      </c>
    </row>
    <row r="5" customFormat="false" ht="61.5" hidden="false" customHeight="true" outlineLevel="0" collapsed="false">
      <c r="A5" s="15" t="s">
        <v>150</v>
      </c>
      <c r="B5" s="7" t="s">
        <v>151</v>
      </c>
    </row>
    <row r="6" customFormat="false" ht="61.5" hidden="false" customHeight="true" outlineLevel="0" collapsed="false">
      <c r="A6" s="15" t="s">
        <v>152</v>
      </c>
      <c r="B6" s="7" t="s">
        <v>153</v>
      </c>
    </row>
    <row r="7" customFormat="false" ht="61.5" hidden="false" customHeight="true" outlineLevel="0" collapsed="false">
      <c r="A7" s="15" t="s">
        <v>154</v>
      </c>
      <c r="B7" s="7" t="s">
        <v>155</v>
      </c>
    </row>
    <row r="8" customFormat="false" ht="61.5" hidden="false" customHeight="true" outlineLevel="0" collapsed="false">
      <c r="A8" s="15" t="s">
        <v>156</v>
      </c>
      <c r="B8" s="7" t="s">
        <v>157</v>
      </c>
    </row>
    <row r="9" customFormat="false" ht="61.5" hidden="false" customHeight="true" outlineLevel="0" collapsed="false">
      <c r="A9" s="15" t="s">
        <v>158</v>
      </c>
      <c r="B9" s="7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2026-10-22T08:39:55Z</dcterms:created>
  <dc:creator>openpyxl</dc:creator>
  <dc:description/>
  <dc:language>en-US</dc:language>
  <cp:lastModifiedBy/>
  <dcterms:modified xsi:type="dcterms:W3CDTF">2026-10-22T08:40:01Z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